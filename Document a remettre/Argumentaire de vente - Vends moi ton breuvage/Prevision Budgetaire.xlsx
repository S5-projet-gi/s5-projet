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yangasse/Library/Mobile Documents/iCloud~md~obsidian/Documents/Atomic Knowledge/02.UNIVERSITE/Génie informatique/Session - 5/Projet/s5-projet/Document a remettre/Argumentaire de vente - Vends moi ton breuvage/"/>
    </mc:Choice>
  </mc:AlternateContent>
  <xr:revisionPtr revIDLastSave="0" documentId="13_ncr:1_{7EC06E7B-3056-624E-A916-0BB32705B570}" xr6:coauthVersionLast="47" xr6:coauthVersionMax="47" xr10:uidLastSave="{00000000-0000-0000-0000-000000000000}"/>
  <bookViews>
    <workbookView xWindow="0" yWindow="0" windowWidth="33600" windowHeight="21000" xr2:uid="{0CF38A4A-BABA-6142-BC7B-9F63FEE405D2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7" i="1" l="1"/>
  <c r="B10" i="1"/>
  <c r="B9" i="1" s="1"/>
  <c r="B14" i="1"/>
  <c r="B18" i="1"/>
  <c r="B22" i="1"/>
  <c r="B26" i="1"/>
  <c r="B21" i="1" s="1"/>
  <c r="B42" i="1"/>
  <c r="B51" i="1"/>
  <c r="B32" i="1" s="1"/>
  <c r="B57" i="1"/>
  <c r="B61" i="1"/>
  <c r="B66" i="1"/>
  <c r="B70" i="1"/>
  <c r="B74" i="1"/>
  <c r="B79" i="1"/>
  <c r="B34" i="1"/>
  <c r="B5" i="1"/>
  <c r="B7" i="1" l="1"/>
  <c r="B85" i="1" s="1"/>
</calcChain>
</file>

<file path=xl/sharedStrings.xml><?xml version="1.0" encoding="utf-8"?>
<sst xmlns="http://schemas.openxmlformats.org/spreadsheetml/2006/main" count="71" uniqueCount="66">
  <si>
    <t>Tâches</t>
  </si>
  <si>
    <t>Heure prévus</t>
  </si>
  <si>
    <t>Modélise les breuvages avec ingéniosité</t>
  </si>
  <si>
    <t>Analyse des spécifications du client</t>
  </si>
  <si>
    <t>Identification des risques</t>
  </si>
  <si>
    <t>Identification des concepts/solutions potentiels</t>
  </si>
  <si>
    <t>Analyse budgétaire</t>
  </si>
  <si>
    <t>Analyse d'impacts potentiels</t>
  </si>
  <si>
    <t>Filtre tes connaissances</t>
  </si>
  <si>
    <t>Gestion de projet</t>
  </si>
  <si>
    <t>Graphique</t>
  </si>
  <si>
    <t>Comparaison</t>
  </si>
  <si>
    <t>PID</t>
  </si>
  <si>
    <t>Simulation</t>
  </si>
  <si>
    <t>Capteurs</t>
  </si>
  <si>
    <t>Ultrasons</t>
  </si>
  <si>
    <t>Modélisation</t>
  </si>
  <si>
    <t>Son</t>
  </si>
  <si>
    <t>Lumière</t>
  </si>
  <si>
    <t>Ligne</t>
  </si>
  <si>
    <t>Véhicule</t>
  </si>
  <si>
    <t>Kart</t>
  </si>
  <si>
    <t>Roues</t>
  </si>
  <si>
    <t>Plateau</t>
  </si>
  <si>
    <t>Bille</t>
  </si>
  <si>
    <t>Suiveur de lumière</t>
  </si>
  <si>
    <t>Suiveur de ligne</t>
  </si>
  <si>
    <t>Conception de deux filtres</t>
  </si>
  <si>
    <t>Programation</t>
  </si>
  <si>
    <t>Déplacement</t>
  </si>
  <si>
    <t>Mouvement</t>
  </si>
  <si>
    <t>Contrôleur vitesse/accélération</t>
  </si>
  <si>
    <t>Contrôleur système</t>
  </si>
  <si>
    <t>Meilleur décision de déplacement</t>
  </si>
  <si>
    <t>Rapports</t>
  </si>
  <si>
    <t>Gestion de projet - Évaluation périodique</t>
  </si>
  <si>
    <t>Étude initiale/faisabilité du projet</t>
  </si>
  <si>
    <t>Planification du projet</t>
  </si>
  <si>
    <t>Exécution</t>
  </si>
  <si>
    <t>Fermeture du projet</t>
  </si>
  <si>
    <t>Argumentaire de vente - Viends moi ton breuvage</t>
  </si>
  <si>
    <t>Information en lien avec la documentation de la gestion de projet</t>
  </si>
  <si>
    <t>Mini version System Requirements Review</t>
  </si>
  <si>
    <t>Choix final</t>
  </si>
  <si>
    <t>Godot Grand Prix</t>
  </si>
  <si>
    <t>Tests unitaires</t>
  </si>
  <si>
    <t>Vérification du respect des contraintes</t>
  </si>
  <si>
    <t>Calcul tes distances</t>
  </si>
  <si>
    <t>Code Mathlab</t>
  </si>
  <si>
    <t>Utilité potentielle des résultats</t>
  </si>
  <si>
    <t>Conduite à l'épreuve</t>
  </si>
  <si>
    <t>Tests IRL</t>
  </si>
  <si>
    <t>Compétition</t>
  </si>
  <si>
    <t>Remise QR</t>
  </si>
  <si>
    <t>Évaluation de la performance</t>
  </si>
  <si>
    <t>Comparaison de la performance</t>
  </si>
  <si>
    <t>Mettre à jour le tableau des risques</t>
  </si>
  <si>
    <t>Remise AR</t>
  </si>
  <si>
    <t>Démontrer que le système est opérationnel</t>
  </si>
  <si>
    <t>Tableau de conformités</t>
  </si>
  <si>
    <t>Retour sur les performances</t>
  </si>
  <si>
    <t>Opportunités d'amélioration</t>
  </si>
  <si>
    <t>TOTAL</t>
  </si>
  <si>
    <t>Coût estimé</t>
  </si>
  <si>
    <t>Coût / Heure</t>
  </si>
  <si>
    <t>Prévision Budgétaire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</si>
</sst>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.00\ &quot;$&quot;"/>
  </numFmts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20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0" xfId="0" applyFill="1"/>
    <xf numFmtId="0" fontId="1" fillId="2" borderId="0" xfId="0" applyFont="1" applyFill="1"/>
    <xf numFmtId="0" fontId="0" fillId="2" borderId="0" xfId="0" applyNumberFormat="1" applyFill="1"/>
    <xf numFmtId="0" fontId="1" fillId="3" borderId="0" xfId="0" applyFont="1" applyFill="1"/>
    <xf numFmtId="0" fontId="0" fillId="3" borderId="0" xfId="0" applyFill="1"/>
    <xf numFmtId="0" fontId="1" fillId="4" borderId="0" xfId="0" applyFont="1" applyFill="1"/>
    <xf numFmtId="0" fontId="0" fillId="4" borderId="0" xfId="0" applyFill="1"/>
    <xf numFmtId="0" fontId="1" fillId="0" borderId="0" xfId="0" applyFont="1" applyAlignment="1">
      <alignment horizontal="right"/>
    </xf>
    <xf numFmtId="166" fontId="0" fillId="0" borderId="0" xfId="0" applyNumberFormat="1"/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F205A-0C97-DB46-A6DC-B2AF6A28090E}">
  <dimension ref="A1:C92"/>
  <sheetViews>
    <sheetView tabSelected="1" topLeftCell="A3" zoomScale="94" workbookViewId="0">
      <selection activeCell="D8" sqref="D8"/>
    </sheetView>
  </sheetViews>
  <sheetFormatPr baseColWidth="10" defaultRowHeight="16" x14ac:dyDescent="0.2"/>
  <cols>
    <col min="1" max="1" width="54.33203125" customWidth="1"/>
    <col min="2" max="2" width="16.33203125" customWidth="1"/>
    <col min="3" max="3" width="12.6640625" customWidth="1"/>
    <col min="4" max="4" width="14" customWidth="1"/>
  </cols>
  <sheetData>
    <row r="1" spans="1:3" x14ac:dyDescent="0.2">
      <c r="A1" s="15" t="s">
        <v>65</v>
      </c>
      <c r="B1" s="15"/>
    </row>
    <row r="2" spans="1:3" x14ac:dyDescent="0.2">
      <c r="A2" s="15"/>
      <c r="B2" s="15"/>
    </row>
    <row r="3" spans="1:3" ht="17" thickBot="1" x14ac:dyDescent="0.25"/>
    <row r="4" spans="1:3" ht="17" thickBot="1" x14ac:dyDescent="0.25">
      <c r="A4" s="4" t="s">
        <v>0</v>
      </c>
      <c r="B4" s="5" t="s">
        <v>1</v>
      </c>
    </row>
    <row r="5" spans="1:3" x14ac:dyDescent="0.2">
      <c r="A5" s="6" t="s">
        <v>9</v>
      </c>
      <c r="B5" s="6">
        <f>5*15</f>
        <v>75</v>
      </c>
    </row>
    <row r="7" spans="1:3" x14ac:dyDescent="0.2">
      <c r="A7" s="7" t="s">
        <v>13</v>
      </c>
      <c r="B7" s="8">
        <f>SUM(B9,B21)</f>
        <v>58.5</v>
      </c>
      <c r="C7" s="1"/>
    </row>
    <row r="8" spans="1:3" x14ac:dyDescent="0.2">
      <c r="A8" s="2"/>
      <c r="B8" s="1"/>
      <c r="C8" s="1"/>
    </row>
    <row r="9" spans="1:3" x14ac:dyDescent="0.2">
      <c r="A9" s="9" t="s">
        <v>28</v>
      </c>
      <c r="B9" s="10">
        <f>SUM(B10,B14,B18)</f>
        <v>45.5</v>
      </c>
    </row>
    <row r="10" spans="1:3" x14ac:dyDescent="0.2">
      <c r="A10" s="11" t="s">
        <v>14</v>
      </c>
      <c r="B10" s="12">
        <f>SUM(B11:B13)</f>
        <v>15</v>
      </c>
    </row>
    <row r="11" spans="1:3" x14ac:dyDescent="0.2">
      <c r="A11" s="3" t="s">
        <v>15</v>
      </c>
      <c r="B11">
        <v>5</v>
      </c>
    </row>
    <row r="12" spans="1:3" x14ac:dyDescent="0.2">
      <c r="A12" s="3" t="s">
        <v>25</v>
      </c>
      <c r="B12">
        <v>5</v>
      </c>
    </row>
    <row r="13" spans="1:3" x14ac:dyDescent="0.2">
      <c r="A13" s="3" t="s">
        <v>26</v>
      </c>
      <c r="B13">
        <v>5</v>
      </c>
    </row>
    <row r="14" spans="1:3" x14ac:dyDescent="0.2">
      <c r="A14" s="11" t="s">
        <v>29</v>
      </c>
      <c r="B14" s="12">
        <f>SUM(B15:B17)</f>
        <v>20.5</v>
      </c>
    </row>
    <row r="15" spans="1:3" x14ac:dyDescent="0.2">
      <c r="A15" s="3" t="s">
        <v>12</v>
      </c>
      <c r="B15">
        <v>7.5</v>
      </c>
    </row>
    <row r="16" spans="1:3" x14ac:dyDescent="0.2">
      <c r="A16" s="3" t="s">
        <v>30</v>
      </c>
      <c r="B16">
        <v>3</v>
      </c>
    </row>
    <row r="17" spans="1:2" x14ac:dyDescent="0.2">
      <c r="A17" s="3" t="s">
        <v>31</v>
      </c>
      <c r="B17">
        <v>10</v>
      </c>
    </row>
    <row r="18" spans="1:2" x14ac:dyDescent="0.2">
      <c r="A18" s="11" t="s">
        <v>32</v>
      </c>
      <c r="B18" s="12">
        <f>SUM(B19)</f>
        <v>10</v>
      </c>
    </row>
    <row r="19" spans="1:2" x14ac:dyDescent="0.2">
      <c r="A19" s="3" t="s">
        <v>33</v>
      </c>
      <c r="B19">
        <v>10</v>
      </c>
    </row>
    <row r="21" spans="1:2" x14ac:dyDescent="0.2">
      <c r="A21" s="9" t="s">
        <v>16</v>
      </c>
      <c r="B21" s="10">
        <f>SUM(B22,B26)</f>
        <v>13</v>
      </c>
    </row>
    <row r="22" spans="1:2" x14ac:dyDescent="0.2">
      <c r="A22" s="11" t="s">
        <v>14</v>
      </c>
      <c r="B22" s="12">
        <f>SUM(B23:B25)</f>
        <v>3</v>
      </c>
    </row>
    <row r="23" spans="1:2" x14ac:dyDescent="0.2">
      <c r="A23" s="3" t="s">
        <v>17</v>
      </c>
      <c r="B23">
        <v>1</v>
      </c>
    </row>
    <row r="24" spans="1:2" x14ac:dyDescent="0.2">
      <c r="A24" s="3" t="s">
        <v>18</v>
      </c>
      <c r="B24">
        <v>1</v>
      </c>
    </row>
    <row r="25" spans="1:2" x14ac:dyDescent="0.2">
      <c r="A25" s="3" t="s">
        <v>19</v>
      </c>
      <c r="B25">
        <v>1</v>
      </c>
    </row>
    <row r="26" spans="1:2" x14ac:dyDescent="0.2">
      <c r="A26" s="11" t="s">
        <v>20</v>
      </c>
      <c r="B26" s="12">
        <f>SUM(B27:B30)</f>
        <v>10</v>
      </c>
    </row>
    <row r="27" spans="1:2" x14ac:dyDescent="0.2">
      <c r="A27" s="3" t="s">
        <v>21</v>
      </c>
      <c r="B27">
        <v>5</v>
      </c>
    </row>
    <row r="28" spans="1:2" x14ac:dyDescent="0.2">
      <c r="A28" s="3" t="s">
        <v>22</v>
      </c>
      <c r="B28">
        <v>3</v>
      </c>
    </row>
    <row r="29" spans="1:2" x14ac:dyDescent="0.2">
      <c r="A29" s="3" t="s">
        <v>23</v>
      </c>
      <c r="B29">
        <v>1</v>
      </c>
    </row>
    <row r="30" spans="1:2" x14ac:dyDescent="0.2">
      <c r="A30" s="3" t="s">
        <v>24</v>
      </c>
      <c r="B30">
        <v>1</v>
      </c>
    </row>
    <row r="32" spans="1:2" x14ac:dyDescent="0.2">
      <c r="A32" s="7" t="s">
        <v>34</v>
      </c>
      <c r="B32" s="6">
        <f>SUM(B34,B40,B42,B51,B57,B61,B66,B70,B74,B79)</f>
        <v>134</v>
      </c>
    </row>
    <row r="34" spans="1:2" x14ac:dyDescent="0.2">
      <c r="A34" s="9" t="s">
        <v>35</v>
      </c>
      <c r="B34" s="10">
        <f>SUM(B35:B38)*3</f>
        <v>12</v>
      </c>
    </row>
    <row r="35" spans="1:2" x14ac:dyDescent="0.2">
      <c r="A35" t="s">
        <v>36</v>
      </c>
      <c r="B35">
        <v>1</v>
      </c>
    </row>
    <row r="36" spans="1:2" x14ac:dyDescent="0.2">
      <c r="A36" s="3" t="s">
        <v>37</v>
      </c>
      <c r="B36">
        <v>1</v>
      </c>
    </row>
    <row r="37" spans="1:2" x14ac:dyDescent="0.2">
      <c r="A37" s="3" t="s">
        <v>38</v>
      </c>
      <c r="B37">
        <v>1</v>
      </c>
    </row>
    <row r="38" spans="1:2" x14ac:dyDescent="0.2">
      <c r="A38" s="3" t="s">
        <v>39</v>
      </c>
      <c r="B38">
        <v>1</v>
      </c>
    </row>
    <row r="39" spans="1:2" x14ac:dyDescent="0.2">
      <c r="A39" s="2"/>
    </row>
    <row r="40" spans="1:2" x14ac:dyDescent="0.2">
      <c r="A40" s="9" t="s">
        <v>2</v>
      </c>
      <c r="B40" s="10">
        <v>2</v>
      </c>
    </row>
    <row r="42" spans="1:2" x14ac:dyDescent="0.2">
      <c r="A42" s="9" t="s">
        <v>40</v>
      </c>
      <c r="B42" s="10">
        <f>SUM(B43:B49)</f>
        <v>20</v>
      </c>
    </row>
    <row r="43" spans="1:2" x14ac:dyDescent="0.2">
      <c r="A43" s="3" t="s">
        <v>3</v>
      </c>
      <c r="B43">
        <v>3</v>
      </c>
    </row>
    <row r="44" spans="1:2" x14ac:dyDescent="0.2">
      <c r="A44" s="3" t="s">
        <v>4</v>
      </c>
      <c r="B44">
        <v>3</v>
      </c>
    </row>
    <row r="45" spans="1:2" x14ac:dyDescent="0.2">
      <c r="A45" s="3" t="s">
        <v>5</v>
      </c>
      <c r="B45">
        <v>3</v>
      </c>
    </row>
    <row r="46" spans="1:2" x14ac:dyDescent="0.2">
      <c r="A46" s="3" t="s">
        <v>41</v>
      </c>
      <c r="B46">
        <v>5</v>
      </c>
    </row>
    <row r="47" spans="1:2" x14ac:dyDescent="0.2">
      <c r="A47" s="3" t="s">
        <v>6</v>
      </c>
      <c r="B47">
        <v>1</v>
      </c>
    </row>
    <row r="48" spans="1:2" x14ac:dyDescent="0.2">
      <c r="A48" s="3" t="s">
        <v>7</v>
      </c>
      <c r="B48">
        <v>3</v>
      </c>
    </row>
    <row r="49" spans="1:2" x14ac:dyDescent="0.2">
      <c r="A49" s="3" t="s">
        <v>42</v>
      </c>
      <c r="B49">
        <v>2</v>
      </c>
    </row>
    <row r="51" spans="1:2" x14ac:dyDescent="0.2">
      <c r="A51" s="9" t="s">
        <v>8</v>
      </c>
      <c r="B51" s="10">
        <f>SUM(B52:B55)</f>
        <v>6</v>
      </c>
    </row>
    <row r="52" spans="1:2" x14ac:dyDescent="0.2">
      <c r="A52" t="s">
        <v>27</v>
      </c>
      <c r="B52">
        <v>3</v>
      </c>
    </row>
    <row r="53" spans="1:2" x14ac:dyDescent="0.2">
      <c r="A53" t="s">
        <v>10</v>
      </c>
      <c r="B53">
        <v>1</v>
      </c>
    </row>
    <row r="54" spans="1:2" x14ac:dyDescent="0.2">
      <c r="A54" t="s">
        <v>11</v>
      </c>
      <c r="B54">
        <v>1</v>
      </c>
    </row>
    <row r="55" spans="1:2" x14ac:dyDescent="0.2">
      <c r="A55" t="s">
        <v>43</v>
      </c>
      <c r="B55">
        <v>1</v>
      </c>
    </row>
    <row r="57" spans="1:2" x14ac:dyDescent="0.2">
      <c r="A57" s="9" t="s">
        <v>44</v>
      </c>
      <c r="B57" s="10">
        <f>SUM(B58:B59)</f>
        <v>13</v>
      </c>
    </row>
    <row r="58" spans="1:2" x14ac:dyDescent="0.2">
      <c r="A58" s="3" t="s">
        <v>45</v>
      </c>
      <c r="B58">
        <v>10</v>
      </c>
    </row>
    <row r="59" spans="1:2" x14ac:dyDescent="0.2">
      <c r="A59" t="s">
        <v>46</v>
      </c>
      <c r="B59">
        <v>3</v>
      </c>
    </row>
    <row r="61" spans="1:2" x14ac:dyDescent="0.2">
      <c r="A61" s="9" t="s">
        <v>47</v>
      </c>
      <c r="B61" s="10">
        <f>SUM(B62:B64)</f>
        <v>14</v>
      </c>
    </row>
    <row r="62" spans="1:2" x14ac:dyDescent="0.2">
      <c r="A62" t="s">
        <v>10</v>
      </c>
      <c r="B62">
        <v>1</v>
      </c>
    </row>
    <row r="63" spans="1:2" x14ac:dyDescent="0.2">
      <c r="A63" s="3" t="s">
        <v>48</v>
      </c>
      <c r="B63">
        <v>10</v>
      </c>
    </row>
    <row r="64" spans="1:2" x14ac:dyDescent="0.2">
      <c r="A64" t="s">
        <v>49</v>
      </c>
      <c r="B64">
        <v>3</v>
      </c>
    </row>
    <row r="66" spans="1:2" x14ac:dyDescent="0.2">
      <c r="A66" s="9" t="s">
        <v>50</v>
      </c>
      <c r="B66" s="10">
        <f>SUM(B67:B68)</f>
        <v>20</v>
      </c>
    </row>
    <row r="67" spans="1:2" x14ac:dyDescent="0.2">
      <c r="A67" t="s">
        <v>45</v>
      </c>
      <c r="B67">
        <v>10</v>
      </c>
    </row>
    <row r="68" spans="1:2" x14ac:dyDescent="0.2">
      <c r="A68" t="s">
        <v>51</v>
      </c>
      <c r="B68">
        <v>10</v>
      </c>
    </row>
    <row r="70" spans="1:2" x14ac:dyDescent="0.2">
      <c r="A70" s="9" t="s">
        <v>52</v>
      </c>
      <c r="B70" s="10">
        <f>SUM(B71:B72)</f>
        <v>20</v>
      </c>
    </row>
    <row r="71" spans="1:2" x14ac:dyDescent="0.2">
      <c r="A71" t="s">
        <v>45</v>
      </c>
      <c r="B71">
        <v>10</v>
      </c>
    </row>
    <row r="72" spans="1:2" x14ac:dyDescent="0.2">
      <c r="A72" t="s">
        <v>51</v>
      </c>
      <c r="B72">
        <v>10</v>
      </c>
    </row>
    <row r="74" spans="1:2" x14ac:dyDescent="0.2">
      <c r="A74" s="9" t="s">
        <v>53</v>
      </c>
      <c r="B74" s="10">
        <f>SUM(B75:B77)</f>
        <v>16</v>
      </c>
    </row>
    <row r="75" spans="1:2" x14ac:dyDescent="0.2">
      <c r="A75" t="s">
        <v>54</v>
      </c>
      <c r="B75">
        <v>10</v>
      </c>
    </row>
    <row r="76" spans="1:2" x14ac:dyDescent="0.2">
      <c r="A76" t="s">
        <v>55</v>
      </c>
      <c r="B76">
        <v>3</v>
      </c>
    </row>
    <row r="77" spans="1:2" x14ac:dyDescent="0.2">
      <c r="A77" t="s">
        <v>56</v>
      </c>
      <c r="B77">
        <v>3</v>
      </c>
    </row>
    <row r="79" spans="1:2" x14ac:dyDescent="0.2">
      <c r="A79" s="9" t="s">
        <v>57</v>
      </c>
      <c r="B79" s="10">
        <f>SUM(B80:B83)</f>
        <v>11</v>
      </c>
    </row>
    <row r="80" spans="1:2" x14ac:dyDescent="0.2">
      <c r="A80" t="s">
        <v>58</v>
      </c>
      <c r="B80">
        <v>5</v>
      </c>
    </row>
    <row r="81" spans="1:2" x14ac:dyDescent="0.2">
      <c r="A81" t="s">
        <v>59</v>
      </c>
      <c r="B81">
        <v>3</v>
      </c>
    </row>
    <row r="82" spans="1:2" x14ac:dyDescent="0.2">
      <c r="A82" s="3" t="s">
        <v>60</v>
      </c>
      <c r="B82">
        <v>2</v>
      </c>
    </row>
    <row r="83" spans="1:2" x14ac:dyDescent="0.2">
      <c r="A83" t="s">
        <v>61</v>
      </c>
      <c r="B83">
        <v>1</v>
      </c>
    </row>
    <row r="85" spans="1:2" x14ac:dyDescent="0.2">
      <c r="A85" s="13" t="s">
        <v>62</v>
      </c>
      <c r="B85">
        <f>SUM(B32,B7,B5)</f>
        <v>267.5</v>
      </c>
    </row>
    <row r="86" spans="1:2" x14ac:dyDescent="0.2">
      <c r="A86" s="13" t="s">
        <v>64</v>
      </c>
      <c r="B86" s="14">
        <v>175</v>
      </c>
    </row>
    <row r="87" spans="1:2" x14ac:dyDescent="0.2">
      <c r="A87" s="13" t="s">
        <v>63</v>
      </c>
      <c r="B87" s="14">
        <f>B85*B86</f>
        <v>46812.5</v>
      </c>
    </row>
    <row r="91" spans="1:2" x14ac:dyDescent="0.2">
      <c r="A91" s="2"/>
    </row>
    <row r="92" spans="1:2" x14ac:dyDescent="0.2">
      <c r="A92" s="3"/>
    </row>
  </sheetData>
  <mergeCells count="1">
    <mergeCell ref="A1:B2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Gasse</dc:creator>
  <cp:lastModifiedBy>Bryan Gasse</cp:lastModifiedBy>
  <dcterms:created xsi:type="dcterms:W3CDTF">2026-01-29T14:53:25Z</dcterms:created>
  <dcterms:modified xsi:type="dcterms:W3CDTF">2026-02-05T00:32:59Z</dcterms:modified>
</cp:coreProperties>
</file>